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hyth\Desktop\"/>
    </mc:Choice>
  </mc:AlternateContent>
  <xr:revisionPtr revIDLastSave="0" documentId="13_ncr:1_{7E66A337-6342-4BD1-A1A6-2525B5E481E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1" l="1"/>
  <c r="O28" i="1"/>
  <c r="O24" i="1"/>
  <c r="O20" i="1"/>
  <c r="O16" i="1"/>
  <c r="O6" i="1"/>
  <c r="O8" i="1"/>
  <c r="O12" i="1"/>
  <c r="O4" i="1"/>
  <c r="O2" i="1"/>
  <c r="G27" i="1"/>
  <c r="G28" i="1"/>
  <c r="G29" i="1"/>
  <c r="G30" i="1"/>
  <c r="G31" i="1"/>
  <c r="G32" i="1"/>
  <c r="G21" i="1"/>
  <c r="G22" i="1"/>
  <c r="G23" i="1"/>
  <c r="G24" i="1"/>
  <c r="G25" i="1"/>
  <c r="G26" i="1"/>
  <c r="G13" i="1"/>
  <c r="G14" i="1"/>
  <c r="G15" i="1"/>
  <c r="G16" i="1"/>
  <c r="G17" i="1"/>
  <c r="G18" i="1"/>
  <c r="G19" i="1"/>
  <c r="G20" i="1"/>
  <c r="G9" i="1"/>
  <c r="G10" i="1"/>
  <c r="G11" i="1"/>
  <c r="G12" i="1"/>
  <c r="G8" i="1"/>
  <c r="G7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<sst xmlns="http://schemas.openxmlformats.org/spreadsheetml/2006/main" count="12" uniqueCount="12">
  <si>
    <t>Steps</t>
  </si>
  <si>
    <t>Acceleration (steps/sec^2)</t>
  </si>
  <si>
    <t>Speed (steps/sec)</t>
  </si>
  <si>
    <t>Time (sec)</t>
  </si>
  <si>
    <t>Flow Rate (ml/min)</t>
  </si>
  <si>
    <t xml:space="preserve"> </t>
  </si>
  <si>
    <t>density</t>
  </si>
  <si>
    <t>time</t>
  </si>
  <si>
    <t>Mass of water (g)</t>
  </si>
  <si>
    <t>error in mass</t>
  </si>
  <si>
    <t>Flow rate  Reading 2</t>
  </si>
  <si>
    <t>Mass of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</si>
</sst>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Flow Rate (ml/min)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Sheet1!$F$2:$F$32</c:f>
              <c:numCache>
                <c:formatCode>General</c:formatCode>
                <c:ptCount val="31"/>
                <c:pt idx="0">
                  <c:v>1050</c:v>
                </c:pt>
                <c:pt idx="1">
                  <c:v>1029</c:v>
                </c:pt>
                <c:pt idx="2">
                  <c:v>1008</c:v>
                </c:pt>
                <c:pt idx="3">
                  <c:v>987</c:v>
                </c:pt>
                <c:pt idx="4">
                  <c:v>966</c:v>
                </c:pt>
                <c:pt idx="5">
                  <c:v>945</c:v>
                </c:pt>
                <c:pt idx="6">
                  <c:v>924</c:v>
                </c:pt>
                <c:pt idx="7">
                  <c:v>903</c:v>
                </c:pt>
                <c:pt idx="8">
                  <c:v>882</c:v>
                </c:pt>
                <c:pt idx="9">
                  <c:v>861</c:v>
                </c:pt>
                <c:pt idx="10">
                  <c:v>840</c:v>
                </c:pt>
                <c:pt idx="11">
                  <c:v>819</c:v>
                </c:pt>
                <c:pt idx="12">
                  <c:v>798</c:v>
                </c:pt>
                <c:pt idx="13">
                  <c:v>777</c:v>
                </c:pt>
                <c:pt idx="14">
                  <c:v>756</c:v>
                </c:pt>
                <c:pt idx="15">
                  <c:v>735</c:v>
                </c:pt>
                <c:pt idx="16">
                  <c:v>714</c:v>
                </c:pt>
                <c:pt idx="17">
                  <c:v>693</c:v>
                </c:pt>
                <c:pt idx="18">
                  <c:v>672</c:v>
                </c:pt>
                <c:pt idx="19">
                  <c:v>651</c:v>
                </c:pt>
                <c:pt idx="20">
                  <c:v>630</c:v>
                </c:pt>
                <c:pt idx="21">
                  <c:v>609</c:v>
                </c:pt>
                <c:pt idx="22">
                  <c:v>588</c:v>
                </c:pt>
                <c:pt idx="23">
                  <c:v>567</c:v>
                </c:pt>
                <c:pt idx="24">
                  <c:v>546</c:v>
                </c:pt>
                <c:pt idx="25">
                  <c:v>525</c:v>
                </c:pt>
                <c:pt idx="26">
                  <c:v>504</c:v>
                </c:pt>
                <c:pt idx="27">
                  <c:v>483</c:v>
                </c:pt>
                <c:pt idx="28">
                  <c:v>462</c:v>
                </c:pt>
                <c:pt idx="29">
                  <c:v>441</c:v>
                </c:pt>
                <c:pt idx="30">
                  <c:v>420</c:v>
                </c:pt>
              </c:numCache>
            </c:numRef>
          </c:xVal>
          <c:yVal>
            <c:numRef>
              <c:f>Sheet1!$G$2:$G$32</c:f>
              <c:numCache>
                <c:formatCode>General</c:formatCode>
                <c:ptCount val="31"/>
                <c:pt idx="0">
                  <c:v>139.85111948936171</c:v>
                </c:pt>
                <c:pt idx="1">
                  <c:v>138.81556921775899</c:v>
                </c:pt>
                <c:pt idx="2">
                  <c:v>136.20565949999997</c:v>
                </c:pt>
                <c:pt idx="3">
                  <c:v>131.24288946515395</c:v>
                </c:pt>
                <c:pt idx="4">
                  <c:v>130.87453632</c:v>
                </c:pt>
                <c:pt idx="5">
                  <c:v>125.40148693586698</c:v>
                </c:pt>
                <c:pt idx="6">
                  <c:v>126.71073808049536</c:v>
                </c:pt>
                <c:pt idx="7">
                  <c:v>123.59911335849057</c:v>
                </c:pt>
                <c:pt idx="8">
                  <c:v>121.33192666666666</c:v>
                </c:pt>
                <c:pt idx="9">
                  <c:v>118.70006181818181</c:v>
                </c:pt>
                <c:pt idx="10">
                  <c:v>115.82761157142856</c:v>
                </c:pt>
                <c:pt idx="11">
                  <c:v>116.81220873269434</c:v>
                </c:pt>
                <c:pt idx="12">
                  <c:v>112.8071301412332</c:v>
                </c:pt>
                <c:pt idx="13">
                  <c:v>109.84832161616161</c:v>
                </c:pt>
                <c:pt idx="14">
                  <c:v>108.38809386138614</c:v>
                </c:pt>
                <c:pt idx="15">
                  <c:v>103.64540259247551</c:v>
                </c:pt>
                <c:pt idx="16">
                  <c:v>102.04603262764633</c:v>
                </c:pt>
                <c:pt idx="17">
                  <c:v>99.87479744136462</c:v>
                </c:pt>
                <c:pt idx="18">
                  <c:v>96.481578426171524</c:v>
                </c:pt>
                <c:pt idx="19">
                  <c:v>94.244246860465111</c:v>
                </c:pt>
                <c:pt idx="20">
                  <c:v>92.793756329651643</c:v>
                </c:pt>
                <c:pt idx="21">
                  <c:v>88.962243968555157</c:v>
                </c:pt>
                <c:pt idx="22">
                  <c:v>86.834474085850559</c:v>
                </c:pt>
                <c:pt idx="23">
                  <c:v>84.261950565262069</c:v>
                </c:pt>
                <c:pt idx="24">
                  <c:v>82.186167267267265</c:v>
                </c:pt>
                <c:pt idx="25">
                  <c:v>78.971329479768769</c:v>
                </c:pt>
                <c:pt idx="26">
                  <c:v>75.55088751442419</c:v>
                </c:pt>
                <c:pt idx="27">
                  <c:v>72.225249702577656</c:v>
                </c:pt>
                <c:pt idx="28">
                  <c:v>69.44463207467119</c:v>
                </c:pt>
                <c:pt idx="29">
                  <c:v>66.438579032913452</c:v>
                </c:pt>
                <c:pt idx="30">
                  <c:v>63.331789218749989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CD-4A6B-BB9D-324A9AD84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311391"/>
        <c:axId val="739980495"/>
      </c:scatterChart>
      <c:valAx>
        <c:axId val="103331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steps per 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80495"/>
        <c:crosses val="autoZero"/>
        <c:crossBetween val="midCat"/>
      </c:valAx>
      <c:valAx>
        <c:axId val="73998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311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610772</xdr:colOff>
      <xdr:row>9</xdr:row>
      <xdr:rowOff>70952</xdr:rowOff>
    </xdr:from>
    <xdr:to>
      <xdr:col>4</xdr:col>
      <xdr:colOff>992739</xdr:colOff>
      <xdr:row>24</xdr:row>
      <xdr:rowOff>99528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3901F6-04DF-B0AA-8D57-8766C1687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zoomScale="89" workbookViewId="0">
      <selection activeCell="I49" sqref="I49"/>
    </sheetView>
  </sheetViews>
  <sheetFormatPr defaultRowHeight="14.25" x14ac:dyDescent="0.45"/>
  <cols>
    <col min="1" max="1" width="18.1328125" style="1" customWidth="1"/>
    <col min="2" max="2" width="14.06640625" style="1" customWidth="1"/>
    <col min="3" max="3" width="9.06640625" style="1"/>
    <col min="4" max="4" width="22.33203125" style="1" customWidth="1"/>
    <col min="5" max="5" width="20.86328125" style="1" customWidth="1"/>
    <col min="6" max="6" width="14.9296875" style="1" customWidth="1"/>
    <col min="7" max="7" width="16" style="1" customWidth="1"/>
    <col min="8" max="8" width="9.06640625" style="1"/>
    <col min="9" max="9" width="23.796875" style="1" customWidth="1"/>
    <col min="10" max="13" width="9.06640625" style="1"/>
    <col min="14" max="14" width="17.46484375" style="1" customWidth="1"/>
    <col min="15" max="15" width="17.1328125" style="1" customWidth="1"/>
    <col min="16" max="16384" width="9.06640625" style="1"/>
  </cols>
  <sheetData>
    <row r="1" spans="1:17" s="2" customFormat="1" x14ac:dyDescent="0.45">
      <c r="A1" s="2" t="s">
        <v>8</v>
      </c>
      <c r="B1" s="2" t="s">
        <v>9</v>
      </c>
      <c r="C1" s="2" t="s">
        <v>0</v>
      </c>
      <c r="D1" s="2" t="s">
        <v>1</v>
      </c>
      <c r="F1" s="2" t="s">
        <v>2</v>
      </c>
      <c r="G1" s="2" t="s">
        <v>4</v>
      </c>
      <c r="H1" s="2" t="s">
        <v>3</v>
      </c>
      <c r="J1" s="2" t="s">
        <v>6</v>
      </c>
      <c r="N1" s="2" t="s">
        <v>11</v>
      </c>
      <c r="O1" s="2" t="s">
        <v>10</v>
      </c>
      <c r="Q1" s="2" t="s">
        <v>7</v>
      </c>
    </row>
    <row r="2" spans="1:17" x14ac:dyDescent="0.45">
      <c r="A2" s="1">
        <v>56.13</v>
      </c>
      <c r="B2" s="1">
        <v>0.15</v>
      </c>
      <c r="C2" s="1">
        <v>22000</v>
      </c>
      <c r="D2" s="1">
        <v>200</v>
      </c>
      <c r="F2" s="1">
        <v>1050</v>
      </c>
      <c r="G2" s="1">
        <f>(A2/H2*J2)*60</f>
        <v>139.85111948936171</v>
      </c>
      <c r="H2" s="1">
        <v>23.5</v>
      </c>
      <c r="J2" s="1">
        <v>0.97585999999999995</v>
      </c>
      <c r="N2" s="1">
        <v>53.87</v>
      </c>
      <c r="O2" s="1">
        <f>(N2/Q2*J2)*60</f>
        <v>138.58412530755712</v>
      </c>
      <c r="Q2" s="1">
        <v>22.76</v>
      </c>
    </row>
    <row r="3" spans="1:17" x14ac:dyDescent="0.45">
      <c r="A3" s="1">
        <v>56.07</v>
      </c>
      <c r="F3" s="1">
        <v>1029</v>
      </c>
      <c r="G3" s="1">
        <f t="shared" ref="G3:G41" si="0">(A3/H3*J3)*60</f>
        <v>138.81556921775899</v>
      </c>
      <c r="H3" s="1">
        <v>23.65</v>
      </c>
      <c r="J3" s="1">
        <v>0.97585999999999995</v>
      </c>
    </row>
    <row r="4" spans="1:17" x14ac:dyDescent="0.45">
      <c r="A4" s="1">
        <v>55.83</v>
      </c>
      <c r="B4" s="1" t="s">
        <v>5</v>
      </c>
      <c r="F4" s="1">
        <v>1008</v>
      </c>
      <c r="G4" s="1">
        <f t="shared" si="0"/>
        <v>136.20565949999997</v>
      </c>
      <c r="H4" s="1">
        <v>24</v>
      </c>
      <c r="J4" s="1">
        <v>0.97585999999999995</v>
      </c>
      <c r="N4" s="1">
        <v>55</v>
      </c>
      <c r="O4" s="1">
        <f>(N4/Q4*J3)*60</f>
        <v>130.06211631663973</v>
      </c>
      <c r="Q4" s="1">
        <v>24.76</v>
      </c>
    </row>
    <row r="5" spans="1:17" x14ac:dyDescent="0.45">
      <c r="A5" s="1">
        <v>55.32</v>
      </c>
      <c r="F5" s="1">
        <v>987</v>
      </c>
      <c r="G5" s="1">
        <f t="shared" si="0"/>
        <v>131.24288946515395</v>
      </c>
      <c r="H5" s="1">
        <v>24.68</v>
      </c>
      <c r="J5" s="1">
        <v>0.97585999999999995</v>
      </c>
    </row>
    <row r="6" spans="1:17" x14ac:dyDescent="0.45">
      <c r="A6" s="1">
        <v>55.88</v>
      </c>
      <c r="F6" s="1">
        <v>966</v>
      </c>
      <c r="G6" s="1">
        <f t="shared" si="0"/>
        <v>130.87453632</v>
      </c>
      <c r="H6" s="1">
        <v>25</v>
      </c>
      <c r="J6" s="1">
        <v>0.97585999999999995</v>
      </c>
      <c r="N6" s="1">
        <v>52.42</v>
      </c>
      <c r="O6" s="1">
        <f t="shared" ref="O5:O8" si="1">(N6/Q6*J5)*60</f>
        <v>132.06862616179001</v>
      </c>
      <c r="Q6" s="1">
        <v>23.24</v>
      </c>
    </row>
    <row r="7" spans="1:17" x14ac:dyDescent="0.45">
      <c r="A7" s="1">
        <v>54.1</v>
      </c>
      <c r="F7" s="1">
        <v>945</v>
      </c>
      <c r="G7" s="1">
        <f t="shared" si="0"/>
        <v>125.40148693586698</v>
      </c>
      <c r="H7" s="1">
        <v>25.26</v>
      </c>
      <c r="J7" s="1">
        <v>0.97585999999999995</v>
      </c>
    </row>
    <row r="8" spans="1:17" x14ac:dyDescent="0.45">
      <c r="A8" s="1">
        <v>55.92</v>
      </c>
      <c r="F8" s="1">
        <v>924</v>
      </c>
      <c r="G8" s="1">
        <f t="shared" si="0"/>
        <v>126.71073808049536</v>
      </c>
      <c r="H8" s="1">
        <v>25.84</v>
      </c>
      <c r="J8" s="1">
        <v>0.97585999999999995</v>
      </c>
      <c r="N8" s="1">
        <v>54.35</v>
      </c>
      <c r="O8" s="1">
        <f t="shared" si="1"/>
        <v>121.92641609195402</v>
      </c>
      <c r="Q8" s="1">
        <v>26.1</v>
      </c>
    </row>
    <row r="9" spans="1:17" x14ac:dyDescent="0.45">
      <c r="A9" s="1">
        <v>55.94</v>
      </c>
      <c r="F9" s="1">
        <v>903</v>
      </c>
      <c r="G9" s="1">
        <f t="shared" si="0"/>
        <v>123.59911335849057</v>
      </c>
      <c r="H9" s="1">
        <v>26.5</v>
      </c>
      <c r="J9" s="1">
        <v>0.97585999999999995</v>
      </c>
    </row>
    <row r="10" spans="1:17" x14ac:dyDescent="0.45">
      <c r="A10" s="1">
        <v>55.95</v>
      </c>
      <c r="F10" s="1">
        <v>882</v>
      </c>
      <c r="G10" s="1">
        <f t="shared" si="0"/>
        <v>121.33192666666666</v>
      </c>
      <c r="H10" s="1">
        <v>27</v>
      </c>
      <c r="J10" s="1">
        <v>0.97585999999999995</v>
      </c>
    </row>
    <row r="11" spans="1:17" x14ac:dyDescent="0.45">
      <c r="A11" s="1">
        <v>55.75</v>
      </c>
      <c r="F11" s="1">
        <v>861</v>
      </c>
      <c r="G11" s="1">
        <f t="shared" si="0"/>
        <v>118.70006181818181</v>
      </c>
      <c r="H11" s="1">
        <v>27.5</v>
      </c>
      <c r="J11" s="1">
        <v>0.97585999999999995</v>
      </c>
    </row>
    <row r="12" spans="1:17" x14ac:dyDescent="0.45">
      <c r="A12" s="1">
        <v>55.39</v>
      </c>
      <c r="F12" s="1">
        <v>840</v>
      </c>
      <c r="G12" s="1">
        <f t="shared" si="0"/>
        <v>115.82761157142856</v>
      </c>
      <c r="H12" s="1">
        <v>28</v>
      </c>
      <c r="J12" s="1">
        <v>0.97585999999999995</v>
      </c>
      <c r="N12" s="1">
        <v>54.22</v>
      </c>
      <c r="O12" s="1">
        <f t="shared" ref="O9:O33" si="2">(N12/Q12*J11)*60</f>
        <v>113.13855138987883</v>
      </c>
      <c r="Q12" s="1">
        <v>28.06</v>
      </c>
    </row>
    <row r="13" spans="1:17" x14ac:dyDescent="0.45">
      <c r="A13" s="1">
        <v>56.2</v>
      </c>
      <c r="F13" s="1">
        <v>819</v>
      </c>
      <c r="G13" s="1">
        <f t="shared" si="0"/>
        <v>116.81220873269434</v>
      </c>
      <c r="H13" s="1">
        <v>28.17</v>
      </c>
      <c r="J13" s="1">
        <v>0.97585999999999995</v>
      </c>
    </row>
    <row r="14" spans="1:17" x14ac:dyDescent="0.45">
      <c r="A14" s="1">
        <v>55.93</v>
      </c>
      <c r="F14" s="1">
        <v>798</v>
      </c>
      <c r="G14" s="1">
        <f t="shared" si="0"/>
        <v>112.8071301412332</v>
      </c>
      <c r="H14" s="1">
        <v>29.03</v>
      </c>
      <c r="J14" s="1">
        <v>0.97585999999999995</v>
      </c>
    </row>
    <row r="15" spans="1:17" x14ac:dyDescent="0.45">
      <c r="A15" s="1">
        <v>55.72</v>
      </c>
      <c r="F15" s="1">
        <v>777</v>
      </c>
      <c r="G15" s="1">
        <f t="shared" si="0"/>
        <v>109.84832161616161</v>
      </c>
      <c r="H15" s="1">
        <v>29.7</v>
      </c>
      <c r="J15" s="1">
        <v>0.97585999999999995</v>
      </c>
    </row>
    <row r="16" spans="1:17" x14ac:dyDescent="0.45">
      <c r="A16" s="1">
        <v>56.09</v>
      </c>
      <c r="F16" s="1">
        <v>756</v>
      </c>
      <c r="G16" s="1">
        <f t="shared" si="0"/>
        <v>108.38809386138614</v>
      </c>
      <c r="H16" s="1">
        <v>30.3</v>
      </c>
      <c r="J16" s="1">
        <v>0.97585999999999995</v>
      </c>
      <c r="N16" s="1">
        <v>54.46</v>
      </c>
      <c r="O16" s="1">
        <f t="shared" si="2"/>
        <v>103.52987454545453</v>
      </c>
      <c r="Q16" s="1">
        <v>30.8</v>
      </c>
    </row>
    <row r="17" spans="1:17" x14ac:dyDescent="0.45">
      <c r="A17" s="1">
        <v>55.99</v>
      </c>
      <c r="F17" s="1">
        <v>735</v>
      </c>
      <c r="G17" s="1">
        <f t="shared" si="0"/>
        <v>103.64540259247551</v>
      </c>
      <c r="H17" s="1">
        <v>31.63</v>
      </c>
      <c r="J17" s="1">
        <v>0.97585999999999995</v>
      </c>
    </row>
    <row r="18" spans="1:17" x14ac:dyDescent="0.45">
      <c r="A18" s="1">
        <v>55.98</v>
      </c>
      <c r="F18" s="1">
        <v>714</v>
      </c>
      <c r="G18" s="1">
        <f t="shared" si="0"/>
        <v>102.04603262764633</v>
      </c>
      <c r="H18" s="1">
        <v>32.119999999999997</v>
      </c>
      <c r="J18" s="1">
        <v>0.97585999999999995</v>
      </c>
    </row>
    <row r="19" spans="1:17" x14ac:dyDescent="0.45">
      <c r="A19" s="1">
        <v>56</v>
      </c>
      <c r="F19" s="1">
        <v>693</v>
      </c>
      <c r="G19" s="1">
        <f t="shared" si="0"/>
        <v>99.87479744136462</v>
      </c>
      <c r="H19" s="1">
        <v>32.83</v>
      </c>
      <c r="J19" s="1">
        <v>0.97585999999999995</v>
      </c>
    </row>
    <row r="20" spans="1:17" x14ac:dyDescent="0.45">
      <c r="A20" s="1">
        <v>55.91</v>
      </c>
      <c r="F20" s="1">
        <v>672</v>
      </c>
      <c r="G20" s="1">
        <f t="shared" si="0"/>
        <v>96.481578426171524</v>
      </c>
      <c r="H20" s="1">
        <v>33.93</v>
      </c>
      <c r="J20" s="1">
        <v>0.97585999999999995</v>
      </c>
      <c r="N20" s="1">
        <v>54.7</v>
      </c>
      <c r="O20" s="1">
        <f t="shared" si="2"/>
        <v>94.254635668040024</v>
      </c>
      <c r="Q20" s="1">
        <v>33.979999999999997</v>
      </c>
    </row>
    <row r="21" spans="1:17" x14ac:dyDescent="0.45">
      <c r="A21" s="1">
        <v>55.37</v>
      </c>
      <c r="F21" s="1">
        <v>651</v>
      </c>
      <c r="G21" s="1">
        <f t="shared" si="0"/>
        <v>94.244246860465111</v>
      </c>
      <c r="H21" s="1">
        <v>34.4</v>
      </c>
      <c r="J21" s="1">
        <v>0.97585999999999995</v>
      </c>
    </row>
    <row r="22" spans="1:17" x14ac:dyDescent="0.45">
      <c r="A22" s="1">
        <v>55.96</v>
      </c>
      <c r="F22" s="1">
        <v>630</v>
      </c>
      <c r="G22" s="1">
        <f t="shared" si="0"/>
        <v>92.793756329651643</v>
      </c>
      <c r="H22" s="1">
        <v>35.31</v>
      </c>
      <c r="J22" s="1">
        <v>0.97585999999999995</v>
      </c>
    </row>
    <row r="23" spans="1:17" x14ac:dyDescent="0.45">
      <c r="A23" s="1">
        <v>56.05</v>
      </c>
      <c r="F23" s="1">
        <v>609</v>
      </c>
      <c r="G23" s="1">
        <f t="shared" si="0"/>
        <v>88.962243968555157</v>
      </c>
      <c r="H23" s="1">
        <v>36.89</v>
      </c>
      <c r="J23" s="1">
        <v>0.97585999999999995</v>
      </c>
    </row>
    <row r="24" spans="1:17" x14ac:dyDescent="0.45">
      <c r="A24" s="1">
        <v>55.97</v>
      </c>
      <c r="F24" s="1">
        <v>588</v>
      </c>
      <c r="G24" s="1">
        <f t="shared" si="0"/>
        <v>86.834474085850559</v>
      </c>
      <c r="H24" s="1">
        <v>37.74</v>
      </c>
      <c r="J24" s="1">
        <v>0.97585999999999995</v>
      </c>
      <c r="N24" s="1">
        <v>51.25</v>
      </c>
      <c r="O24" s="1">
        <f t="shared" si="2"/>
        <v>82.438722527472521</v>
      </c>
      <c r="Q24" s="1">
        <v>36.4</v>
      </c>
    </row>
    <row r="25" spans="1:17" x14ac:dyDescent="0.45">
      <c r="A25" s="1">
        <v>56.01</v>
      </c>
      <c r="F25" s="1">
        <v>567</v>
      </c>
      <c r="G25" s="1">
        <f t="shared" si="0"/>
        <v>84.261950565262069</v>
      </c>
      <c r="H25" s="1">
        <v>38.92</v>
      </c>
      <c r="J25" s="1">
        <v>0.97585999999999995</v>
      </c>
    </row>
    <row r="26" spans="1:17" x14ac:dyDescent="0.45">
      <c r="A26" s="1">
        <v>56.09</v>
      </c>
      <c r="F26" s="1">
        <v>546</v>
      </c>
      <c r="G26" s="1">
        <f t="shared" si="0"/>
        <v>82.186167267267265</v>
      </c>
      <c r="H26" s="1">
        <v>39.96</v>
      </c>
      <c r="J26" s="1">
        <v>0.97585999999999995</v>
      </c>
    </row>
    <row r="27" spans="1:17" x14ac:dyDescent="0.45">
      <c r="A27" s="1">
        <v>56</v>
      </c>
      <c r="F27" s="1">
        <v>525</v>
      </c>
      <c r="G27" s="1">
        <f t="shared" si="0"/>
        <v>78.971329479768769</v>
      </c>
      <c r="H27" s="1">
        <v>41.52</v>
      </c>
      <c r="J27" s="1">
        <v>0.97585999999999995</v>
      </c>
    </row>
    <row r="28" spans="1:17" x14ac:dyDescent="0.45">
      <c r="A28" s="1">
        <v>55.91</v>
      </c>
      <c r="F28" s="1">
        <v>504</v>
      </c>
      <c r="G28" s="1">
        <f t="shared" si="0"/>
        <v>75.55088751442419</v>
      </c>
      <c r="H28" s="1">
        <v>43.33</v>
      </c>
      <c r="J28" s="1">
        <v>0.97585999999999995</v>
      </c>
      <c r="N28" s="1">
        <v>53.8</v>
      </c>
      <c r="O28" s="1">
        <f t="shared" si="2"/>
        <v>72.465518288474811</v>
      </c>
      <c r="Q28" s="1">
        <v>43.47</v>
      </c>
    </row>
    <row r="29" spans="1:17" x14ac:dyDescent="0.45">
      <c r="A29" s="1">
        <v>55.99</v>
      </c>
      <c r="F29" s="1">
        <v>483</v>
      </c>
      <c r="G29" s="1">
        <f t="shared" si="0"/>
        <v>72.225249702577656</v>
      </c>
      <c r="H29" s="1">
        <v>45.39</v>
      </c>
      <c r="J29" s="1">
        <v>0.97585999999999995</v>
      </c>
    </row>
    <row r="30" spans="1:17" x14ac:dyDescent="0.45">
      <c r="A30" s="1">
        <v>55.91</v>
      </c>
      <c r="F30" s="1">
        <v>462</v>
      </c>
      <c r="G30" s="1">
        <f t="shared" si="0"/>
        <v>69.44463207467119</v>
      </c>
      <c r="H30" s="1">
        <v>47.14</v>
      </c>
      <c r="J30" s="1">
        <v>0.97585999999999995</v>
      </c>
    </row>
    <row r="31" spans="1:17" x14ac:dyDescent="0.45">
      <c r="A31" s="1">
        <v>55.85</v>
      </c>
      <c r="F31" s="1">
        <v>441</v>
      </c>
      <c r="G31" s="1">
        <f t="shared" si="0"/>
        <v>66.438579032913452</v>
      </c>
      <c r="H31" s="1">
        <v>49.22</v>
      </c>
      <c r="J31" s="1">
        <v>0.97585999999999995</v>
      </c>
    </row>
    <row r="32" spans="1:17" x14ac:dyDescent="0.45">
      <c r="A32" s="1">
        <v>55.38</v>
      </c>
      <c r="F32" s="1">
        <v>420</v>
      </c>
      <c r="G32" s="1">
        <f t="shared" si="0"/>
        <v>63.331789218749989</v>
      </c>
      <c r="H32" s="1">
        <v>51.2</v>
      </c>
      <c r="J32" s="1">
        <v>0.97585999999999995</v>
      </c>
      <c r="N32" s="1">
        <v>54.2</v>
      </c>
      <c r="O32" s="1">
        <f t="shared" si="2"/>
        <v>61.064012314796997</v>
      </c>
      <c r="Q32" s="1">
        <v>51.97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Soni</dc:creator>
  <cp:lastModifiedBy>Rhythem Soni 24110296</cp:lastModifiedBy>
  <dcterms:created xsi:type="dcterms:W3CDTF">2015-06-05T18:17:20Z</dcterms:created>
  <dcterms:modified xsi:type="dcterms:W3CDTF">2026-07-10T10:11:59Z</dcterms:modified>
</cp:coreProperties>
</file>